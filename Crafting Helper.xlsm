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ythios\Documents\My Games\FINAL FANTASY XIV - A Realm Reborn\"/>
    </mc:Choice>
  </mc:AlternateContent>
  <bookViews>
    <workbookView xWindow="0" yWindow="0" windowWidth="21570" windowHeight="8145"/>
  </bookViews>
  <sheets>
    <sheet name="Crafting" sheetId="1" r:id="rId1"/>
    <sheet name="Skills" sheetId="2" r:id="rId2"/>
  </sheets>
  <definedNames>
    <definedName name="_xlnm._FilterDatabase" localSheetId="1" hidden="1">Skills!$A$1:$D$16</definedName>
    <definedName name="AdvancedTouch">Skills!$E$14</definedName>
    <definedName name="BasicSynthesis">Skills!$E$3</definedName>
    <definedName name="BasicTouch">Skills!$E$4</definedName>
    <definedName name="ByregotsBrow">Skills!$E$16</definedName>
    <definedName name="CarefulSynthesis">Skills!$E$9</definedName>
    <definedName name="CarefulSynthesisII">Skills!$E$15</definedName>
    <definedName name="GreatStrides">Skills!$E$11</definedName>
    <definedName name="InnerQuiet">Skills!$E$7</definedName>
    <definedName name="MastersMend">Skills!$E$5</definedName>
    <definedName name="MastersMendII">Skills!$E$12</definedName>
    <definedName name="Observe">Skills!$E$8</definedName>
    <definedName name="PicSkill01">INDIRECT(Skills!$G$1)</definedName>
    <definedName name="PicSkill02">INDIRECT(Skills!$G$2)</definedName>
    <definedName name="PicSkill03">INDIRECT(Skills!$G$3)</definedName>
    <definedName name="PicSkill04">INDIRECT(Skills!$G$4)</definedName>
    <definedName name="PicSkill05">INDIRECT(Skills!$G$5)</definedName>
    <definedName name="PicSkill06">INDIRECT(Skills!$G$6)</definedName>
    <definedName name="PicSkill07">INDIRECT(Skills!$G$7)</definedName>
    <definedName name="PicSkill08">INDIRECT(Skills!$G$8)</definedName>
    <definedName name="PicSkill09">INDIRECT(Skills!$G$9)</definedName>
    <definedName name="PicSkill10">INDIRECT(Skills!$G$10)</definedName>
    <definedName name="PicSkill11">INDIRECT(Skills!$G$11)</definedName>
    <definedName name="PicSkill12">INDIRECT(Skills!$G$12)</definedName>
    <definedName name="PicSkill13">INDIRECT(Skills!$G$13)</definedName>
    <definedName name="PicSkill14">INDIRECT(Skills!$G$14)</definedName>
    <definedName name="PicSkill15">INDIRECT(Skills!$G$15)</definedName>
    <definedName name="PicSkill16">INDIRECT(Skills!$G$16)</definedName>
    <definedName name="PicSkill17">INDIRECT(Skills!$G$17)</definedName>
    <definedName name="PicSkill18">INDIRECT(Skills!$G$18)</definedName>
    <definedName name="PicSkill19">INDIRECT(Skills!$G$19)</definedName>
    <definedName name="PicSkill20">INDIRECT(Skills!$G$20)</definedName>
    <definedName name="PicSkill21">INDIRECT(Skills!$G$21)</definedName>
    <definedName name="PicSkill22">INDIRECT(Skills!$G$22)</definedName>
    <definedName name="PicSkill23">INDIRECT(Skills!$G$23)</definedName>
    <definedName name="PicSkill24">INDIRECT(Skills!$G$24)</definedName>
    <definedName name="StandardSynthesis">Skills!$E$13</definedName>
    <definedName name="StandardTouch">Skills!$E$10</definedName>
    <definedName name="SteadyHand">Skills!$E$6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2" l="1"/>
  <c r="G24" i="2"/>
  <c r="G23" i="2"/>
  <c r="G22" i="2"/>
  <c r="G21" i="2"/>
  <c r="G20" i="2"/>
  <c r="G19" i="2"/>
  <c r="G18" i="2"/>
  <c r="G9" i="2"/>
  <c r="G16" i="2"/>
  <c r="G15" i="2"/>
  <c r="G14" i="2"/>
  <c r="G13" i="2"/>
  <c r="G12" i="2"/>
  <c r="G11" i="2"/>
  <c r="G10" i="2"/>
  <c r="G8" i="2"/>
  <c r="G1" i="2" l="1"/>
  <c r="G7" i="2"/>
  <c r="G6" i="2"/>
  <c r="G5" i="2"/>
  <c r="G4" i="2"/>
  <c r="G3" i="2"/>
  <c r="G2" i="2"/>
</calcChain>
</file>

<file path=xl/sharedStrings.xml><?xml version="1.0" encoding="utf-8"?>
<sst xmlns="http://schemas.openxmlformats.org/spreadsheetml/2006/main" count="48" uniqueCount="20">
  <si>
    <t>Action</t>
  </si>
  <si>
    <t>Delay</t>
  </si>
  <si>
    <t>CP</t>
  </si>
  <si>
    <t>Basic Touch</t>
  </si>
  <si>
    <t>Basic Synthesis</t>
  </si>
  <si>
    <t>Master's Mend</t>
  </si>
  <si>
    <t>Steady Hand</t>
  </si>
  <si>
    <t>Inner Quiet</t>
  </si>
  <si>
    <t>Observe</t>
  </si>
  <si>
    <t>Careful Synthesis</t>
  </si>
  <si>
    <t>Standard Touch</t>
  </si>
  <si>
    <t>Great Strides</t>
  </si>
  <si>
    <t>Master's Mend II</t>
  </si>
  <si>
    <t>Standard Synthesis</t>
  </si>
  <si>
    <t>Advanced Touch</t>
  </si>
  <si>
    <t>Careful Synthesis II</t>
  </si>
  <si>
    <t>Byregot's Brow</t>
  </si>
  <si>
    <t>Level</t>
  </si>
  <si>
    <t>Blank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</si>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</sst>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0" xfId="0" applyProtection="1"/>
    <xf numFmtId="0" fontId="0" fillId="0" borderId="0" xfId="0" applyBorder="1"/>
    <xf numFmtId="0" fontId="1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5" Type="http://schemas.openxmlformats.org/officeDocument/2006/relationships/image" Target="../media/image21.png"/><Relationship Id="rId10" Type="http://schemas.openxmlformats.org/officeDocument/2006/relationships/image" Target="../media/image26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</xdr:row>
          <xdr:rowOff>47625</xdr:rowOff>
        </xdr:from>
        <xdr:to>
          <xdr:col>1</xdr:col>
          <xdr:colOff>801291</xdr:colOff>
          <xdr:row>5</xdr:row>
          <xdr:rowOff>476250</xdr:rowOff>
        </xdr:to>
        <xdr:pic>
          <xdr:nvPicPr>
            <xdr:cNvPr id="5" name="Picture 4"/>
            <xdr:cNvPicPr>
              <a:picLocks noChangeAspect="1"/>
              <a:extLst>
                <a:ext uri="{84589F7E-364E-4C9E-8A38-B11213B215E9}">
                  <a14:cameraTool cellRange="PicSkill01" spid="_x0000_s230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90600" y="1000125"/>
              <a:ext cx="458391" cy="428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5</xdr:row>
          <xdr:rowOff>38100</xdr:rowOff>
        </xdr:from>
        <xdr:to>
          <xdr:col>2</xdr:col>
          <xdr:colOff>820341</xdr:colOff>
          <xdr:row>5</xdr:row>
          <xdr:rowOff>466725</xdr:rowOff>
        </xdr:to>
        <xdr:pic>
          <xdr:nvPicPr>
            <xdr:cNvPr id="6" name="Picture 5"/>
            <xdr:cNvPicPr>
              <a:picLocks noChangeAspect="1"/>
              <a:extLst>
                <a:ext uri="{84589F7E-364E-4C9E-8A38-B11213B215E9}">
                  <a14:cameraTool cellRange="PicSkill02" spid="_x0000_s231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24075" y="990600"/>
              <a:ext cx="458391" cy="428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57150</xdr:rowOff>
        </xdr:from>
        <xdr:to>
          <xdr:col>3</xdr:col>
          <xdr:colOff>782241</xdr:colOff>
          <xdr:row>5</xdr:row>
          <xdr:rowOff>485775</xdr:rowOff>
        </xdr:to>
        <xdr:pic>
          <xdr:nvPicPr>
            <xdr:cNvPr id="7" name="Picture 6"/>
            <xdr:cNvPicPr>
              <a:picLocks noChangeAspect="1"/>
              <a:extLst>
                <a:ext uri="{84589F7E-364E-4C9E-8A38-B11213B215E9}">
                  <a14:cameraTool cellRange="PicSkill03" spid="_x0000_s2311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200400" y="1009650"/>
              <a:ext cx="458391" cy="428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5</xdr:row>
          <xdr:rowOff>47625</xdr:rowOff>
        </xdr:from>
        <xdr:to>
          <xdr:col>4</xdr:col>
          <xdr:colOff>791766</xdr:colOff>
          <xdr:row>5</xdr:row>
          <xdr:rowOff>476250</xdr:rowOff>
        </xdr:to>
        <xdr:pic>
          <xdr:nvPicPr>
            <xdr:cNvPr id="8" name="Picture 7"/>
            <xdr:cNvPicPr>
              <a:picLocks noChangeAspect="1"/>
              <a:extLst>
                <a:ext uri="{84589F7E-364E-4C9E-8A38-B11213B215E9}">
                  <a14:cameraTool cellRange="PicSkill04" spid="_x0000_s2312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324350" y="1000125"/>
              <a:ext cx="458391" cy="428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47625</xdr:rowOff>
        </xdr:from>
        <xdr:to>
          <xdr:col>5</xdr:col>
          <xdr:colOff>782241</xdr:colOff>
          <xdr:row>5</xdr:row>
          <xdr:rowOff>476250</xdr:rowOff>
        </xdr:to>
        <xdr:pic>
          <xdr:nvPicPr>
            <xdr:cNvPr id="9" name="Picture 8"/>
            <xdr:cNvPicPr>
              <a:picLocks noChangeAspect="1"/>
              <a:extLst>
                <a:ext uri="{84589F7E-364E-4C9E-8A38-B11213B215E9}">
                  <a14:cameraTool cellRange="PicSkill05" spid="_x0000_s2313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429250" y="1000125"/>
              <a:ext cx="458391" cy="428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5</xdr:row>
          <xdr:rowOff>38100</xdr:rowOff>
        </xdr:from>
        <xdr:to>
          <xdr:col>6</xdr:col>
          <xdr:colOff>801291</xdr:colOff>
          <xdr:row>5</xdr:row>
          <xdr:rowOff>466725</xdr:rowOff>
        </xdr:to>
        <xdr:pic>
          <xdr:nvPicPr>
            <xdr:cNvPr id="10" name="Picture 9"/>
            <xdr:cNvPicPr>
              <a:picLocks noChangeAspect="1"/>
              <a:extLst>
                <a:ext uri="{84589F7E-364E-4C9E-8A38-B11213B215E9}">
                  <a14:cameraTool cellRange="PicSkill06" spid="_x0000_s2314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562725" y="990600"/>
              <a:ext cx="458391" cy="428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5</xdr:row>
          <xdr:rowOff>38100</xdr:rowOff>
        </xdr:from>
        <xdr:to>
          <xdr:col>7</xdr:col>
          <xdr:colOff>810816</xdr:colOff>
          <xdr:row>5</xdr:row>
          <xdr:rowOff>466725</xdr:rowOff>
        </xdr:to>
        <xdr:pic>
          <xdr:nvPicPr>
            <xdr:cNvPr id="11" name="Picture 10"/>
            <xdr:cNvPicPr>
              <a:picLocks noChangeAspect="1"/>
              <a:extLst>
                <a:ext uri="{84589F7E-364E-4C9E-8A38-B11213B215E9}">
                  <a14:cameraTool cellRange="PicSkill07" spid="_x0000_s2315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686675" y="990600"/>
              <a:ext cx="458391" cy="428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5</xdr:row>
          <xdr:rowOff>47625</xdr:rowOff>
        </xdr:from>
        <xdr:to>
          <xdr:col>8</xdr:col>
          <xdr:colOff>791766</xdr:colOff>
          <xdr:row>5</xdr:row>
          <xdr:rowOff>476250</xdr:rowOff>
        </xdr:to>
        <xdr:pic>
          <xdr:nvPicPr>
            <xdr:cNvPr id="12" name="Picture 11"/>
            <xdr:cNvPicPr>
              <a:picLocks noChangeAspect="1"/>
              <a:extLst>
                <a:ext uri="{84589F7E-364E-4C9E-8A38-B11213B215E9}">
                  <a14:cameraTool cellRange="PicSkill08" spid="_x0000_s2316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782050" y="1000125"/>
              <a:ext cx="458391" cy="428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342900</xdr:colOff>
          <xdr:row>9</xdr:row>
          <xdr:rowOff>47625</xdr:rowOff>
        </xdr:from>
        <xdr:ext cx="458391" cy="428625"/>
        <xdr:pic>
          <xdr:nvPicPr>
            <xdr:cNvPr id="29" name="Picture 28"/>
            <xdr:cNvPicPr>
              <a:picLocks noChangeAspect="1"/>
              <a:extLst>
                <a:ext uri="{84589F7E-364E-4C9E-8A38-B11213B215E9}">
                  <a14:cameraTool cellRange="PicSkill09" spid="_x0000_s2317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990600" y="2152650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371475</xdr:colOff>
          <xdr:row>9</xdr:row>
          <xdr:rowOff>38100</xdr:rowOff>
        </xdr:from>
        <xdr:ext cx="458391" cy="428625"/>
        <xdr:pic>
          <xdr:nvPicPr>
            <xdr:cNvPr id="30" name="Picture 29"/>
            <xdr:cNvPicPr>
              <a:picLocks noChangeAspect="1"/>
              <a:extLst>
                <a:ext uri="{84589F7E-364E-4C9E-8A38-B11213B215E9}">
                  <a14:cameraTool cellRange="PicSkill10" spid="_x0000_s231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33600" y="2143125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323850</xdr:colOff>
          <xdr:row>9</xdr:row>
          <xdr:rowOff>57150</xdr:rowOff>
        </xdr:from>
        <xdr:ext cx="458391" cy="428625"/>
        <xdr:pic>
          <xdr:nvPicPr>
            <xdr:cNvPr id="31" name="Picture 30"/>
            <xdr:cNvPicPr>
              <a:picLocks noChangeAspect="1"/>
              <a:extLst>
                <a:ext uri="{84589F7E-364E-4C9E-8A38-B11213B215E9}">
                  <a14:cameraTool cellRange="PicSkill11" spid="_x0000_s2319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200400" y="1009650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333375</xdr:colOff>
          <xdr:row>9</xdr:row>
          <xdr:rowOff>47625</xdr:rowOff>
        </xdr:from>
        <xdr:ext cx="458391" cy="428625"/>
        <xdr:pic>
          <xdr:nvPicPr>
            <xdr:cNvPr id="32" name="Picture 31"/>
            <xdr:cNvPicPr>
              <a:picLocks noChangeAspect="1"/>
              <a:extLst>
                <a:ext uri="{84589F7E-364E-4C9E-8A38-B11213B215E9}">
                  <a14:cameraTool cellRange="PicSkill12" spid="_x0000_s2320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324350" y="1000125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323850</xdr:colOff>
          <xdr:row>9</xdr:row>
          <xdr:rowOff>47625</xdr:rowOff>
        </xdr:from>
        <xdr:ext cx="458391" cy="428625"/>
        <xdr:pic>
          <xdr:nvPicPr>
            <xdr:cNvPr id="33" name="Picture 32"/>
            <xdr:cNvPicPr>
              <a:picLocks noChangeAspect="1"/>
              <a:extLst>
                <a:ext uri="{84589F7E-364E-4C9E-8A38-B11213B215E9}">
                  <a14:cameraTool cellRange="PicSkill13" spid="_x0000_s2321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429250" y="1000125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342900</xdr:colOff>
          <xdr:row>9</xdr:row>
          <xdr:rowOff>38100</xdr:rowOff>
        </xdr:from>
        <xdr:ext cx="458391" cy="428625"/>
        <xdr:pic>
          <xdr:nvPicPr>
            <xdr:cNvPr id="34" name="Picture 33"/>
            <xdr:cNvPicPr>
              <a:picLocks noChangeAspect="1"/>
              <a:extLst>
                <a:ext uri="{84589F7E-364E-4C9E-8A38-B11213B215E9}">
                  <a14:cameraTool cellRange="PicSkill14" spid="_x0000_s2322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562725" y="990600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352425</xdr:colOff>
          <xdr:row>9</xdr:row>
          <xdr:rowOff>38100</xdr:rowOff>
        </xdr:from>
        <xdr:ext cx="458391" cy="428625"/>
        <xdr:pic>
          <xdr:nvPicPr>
            <xdr:cNvPr id="35" name="Picture 34"/>
            <xdr:cNvPicPr>
              <a:picLocks noChangeAspect="1"/>
              <a:extLst>
                <a:ext uri="{84589F7E-364E-4C9E-8A38-B11213B215E9}">
                  <a14:cameraTool cellRange="PicSkill15" spid="_x0000_s2323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686675" y="990600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333375</xdr:colOff>
          <xdr:row>9</xdr:row>
          <xdr:rowOff>47625</xdr:rowOff>
        </xdr:from>
        <xdr:ext cx="458391" cy="428625"/>
        <xdr:pic>
          <xdr:nvPicPr>
            <xdr:cNvPr id="36" name="Picture 35"/>
            <xdr:cNvPicPr>
              <a:picLocks noChangeAspect="1"/>
              <a:extLst>
                <a:ext uri="{84589F7E-364E-4C9E-8A38-B11213B215E9}">
                  <a14:cameraTool cellRange="PicSkill16" spid="_x0000_s2324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782050" y="1000125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342900</xdr:colOff>
          <xdr:row>13</xdr:row>
          <xdr:rowOff>47625</xdr:rowOff>
        </xdr:from>
        <xdr:ext cx="458391" cy="428625"/>
        <xdr:pic>
          <xdr:nvPicPr>
            <xdr:cNvPr id="37" name="Picture 36"/>
            <xdr:cNvPicPr>
              <a:picLocks noChangeAspect="1"/>
              <a:extLst>
                <a:ext uri="{84589F7E-364E-4C9E-8A38-B11213B215E9}">
                  <a14:cameraTool cellRange="PicSkill17" spid="_x0000_s2325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90600" y="1000125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361950</xdr:colOff>
          <xdr:row>13</xdr:row>
          <xdr:rowOff>38100</xdr:rowOff>
        </xdr:from>
        <xdr:ext cx="458391" cy="428625"/>
        <xdr:pic>
          <xdr:nvPicPr>
            <xdr:cNvPr id="38" name="Picture 37"/>
            <xdr:cNvPicPr>
              <a:picLocks noChangeAspect="1"/>
              <a:extLst>
                <a:ext uri="{84589F7E-364E-4C9E-8A38-B11213B215E9}">
                  <a14:cameraTool cellRange="PicSkill18" spid="_x0000_s232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124075" y="990600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323850</xdr:colOff>
          <xdr:row>13</xdr:row>
          <xdr:rowOff>57150</xdr:rowOff>
        </xdr:from>
        <xdr:ext cx="458391" cy="428625"/>
        <xdr:pic>
          <xdr:nvPicPr>
            <xdr:cNvPr id="39" name="Picture 38"/>
            <xdr:cNvPicPr>
              <a:picLocks noChangeAspect="1"/>
              <a:extLst>
                <a:ext uri="{84589F7E-364E-4C9E-8A38-B11213B215E9}">
                  <a14:cameraTool cellRange="PicSkill19" spid="_x0000_s2327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200400" y="1009650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333375</xdr:colOff>
          <xdr:row>13</xdr:row>
          <xdr:rowOff>47625</xdr:rowOff>
        </xdr:from>
        <xdr:ext cx="458391" cy="428625"/>
        <xdr:pic>
          <xdr:nvPicPr>
            <xdr:cNvPr id="40" name="Picture 39"/>
            <xdr:cNvPicPr>
              <a:picLocks noChangeAspect="1"/>
              <a:extLst>
                <a:ext uri="{84589F7E-364E-4C9E-8A38-B11213B215E9}">
                  <a14:cameraTool cellRange="PicSkill20" spid="_x0000_s2328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324350" y="1000125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323850</xdr:colOff>
          <xdr:row>13</xdr:row>
          <xdr:rowOff>47625</xdr:rowOff>
        </xdr:from>
        <xdr:ext cx="458391" cy="428625"/>
        <xdr:pic>
          <xdr:nvPicPr>
            <xdr:cNvPr id="41" name="Picture 40"/>
            <xdr:cNvPicPr>
              <a:picLocks noChangeAspect="1"/>
              <a:extLst>
                <a:ext uri="{84589F7E-364E-4C9E-8A38-B11213B215E9}">
                  <a14:cameraTool cellRange="PicSkill21" spid="_x0000_s2329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429250" y="1000125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342900</xdr:colOff>
          <xdr:row>13</xdr:row>
          <xdr:rowOff>38100</xdr:rowOff>
        </xdr:from>
        <xdr:ext cx="458391" cy="428625"/>
        <xdr:pic>
          <xdr:nvPicPr>
            <xdr:cNvPr id="42" name="Picture 41"/>
            <xdr:cNvPicPr>
              <a:picLocks noChangeAspect="1"/>
              <a:extLst>
                <a:ext uri="{84589F7E-364E-4C9E-8A38-B11213B215E9}">
                  <a14:cameraTool cellRange="PicSkill22" spid="_x0000_s2330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562725" y="990600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352425</xdr:colOff>
          <xdr:row>13</xdr:row>
          <xdr:rowOff>38100</xdr:rowOff>
        </xdr:from>
        <xdr:ext cx="458391" cy="428625"/>
        <xdr:pic>
          <xdr:nvPicPr>
            <xdr:cNvPr id="43" name="Picture 42"/>
            <xdr:cNvPicPr>
              <a:picLocks noChangeAspect="1"/>
              <a:extLst>
                <a:ext uri="{84589F7E-364E-4C9E-8A38-B11213B215E9}">
                  <a14:cameraTool cellRange="PicSkill23" spid="_x0000_s2331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686675" y="990600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333375</xdr:colOff>
          <xdr:row>13</xdr:row>
          <xdr:rowOff>47625</xdr:rowOff>
        </xdr:from>
        <xdr:ext cx="458391" cy="428625"/>
        <xdr:pic>
          <xdr:nvPicPr>
            <xdr:cNvPr id="44" name="Picture 43"/>
            <xdr:cNvPicPr>
              <a:picLocks noChangeAspect="1"/>
              <a:extLst>
                <a:ext uri="{84589F7E-364E-4C9E-8A38-B11213B215E9}">
                  <a14:cameraTool cellRange="PicSkill24" spid="_x0000_s2332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782050" y="1000125"/>
              <a:ext cx="458391" cy="428625"/>
            </a:xfrm>
            <a:prstGeom prst="rect">
              <a:avLst/>
            </a:prstGeom>
          </xdr:spPr>
        </xdr:pic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41671</xdr:colOff>
      <xdr:row>2</xdr:row>
      <xdr:rowOff>17859</xdr:rowOff>
    </xdr:from>
    <xdr:to>
      <xdr:col>4</xdr:col>
      <xdr:colOff>441777</xdr:colOff>
      <xdr:row>2</xdr:row>
      <xdr:rowOff>417965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8765" y="446484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35718</xdr:colOff>
      <xdr:row>3</xdr:row>
      <xdr:rowOff>23813</xdr:rowOff>
    </xdr:from>
    <xdr:to>
      <xdr:col>4</xdr:col>
      <xdr:colOff>435824</xdr:colOff>
      <xdr:row>3</xdr:row>
      <xdr:rowOff>423919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2812" y="881063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23813</xdr:colOff>
      <xdr:row>4</xdr:row>
      <xdr:rowOff>23812</xdr:rowOff>
    </xdr:from>
    <xdr:to>
      <xdr:col>4</xdr:col>
      <xdr:colOff>423919</xdr:colOff>
      <xdr:row>4</xdr:row>
      <xdr:rowOff>423918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0907" y="1309687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29766</xdr:colOff>
      <xdr:row>5</xdr:row>
      <xdr:rowOff>11906</xdr:rowOff>
    </xdr:from>
    <xdr:to>
      <xdr:col>4</xdr:col>
      <xdr:colOff>429872</xdr:colOff>
      <xdr:row>5</xdr:row>
      <xdr:rowOff>412012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6860" y="1726406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23812</xdr:colOff>
      <xdr:row>6</xdr:row>
      <xdr:rowOff>17859</xdr:rowOff>
    </xdr:from>
    <xdr:to>
      <xdr:col>4</xdr:col>
      <xdr:colOff>423918</xdr:colOff>
      <xdr:row>6</xdr:row>
      <xdr:rowOff>417965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0906" y="2160984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35719</xdr:colOff>
      <xdr:row>7</xdr:row>
      <xdr:rowOff>17860</xdr:rowOff>
    </xdr:from>
    <xdr:to>
      <xdr:col>4</xdr:col>
      <xdr:colOff>435825</xdr:colOff>
      <xdr:row>7</xdr:row>
      <xdr:rowOff>417966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2813" y="2589610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35718</xdr:colOff>
      <xdr:row>8</xdr:row>
      <xdr:rowOff>11906</xdr:rowOff>
    </xdr:from>
    <xdr:to>
      <xdr:col>4</xdr:col>
      <xdr:colOff>435824</xdr:colOff>
      <xdr:row>8</xdr:row>
      <xdr:rowOff>412012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2812" y="3012281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35719</xdr:colOff>
      <xdr:row>9</xdr:row>
      <xdr:rowOff>17859</xdr:rowOff>
    </xdr:from>
    <xdr:to>
      <xdr:col>4</xdr:col>
      <xdr:colOff>435825</xdr:colOff>
      <xdr:row>9</xdr:row>
      <xdr:rowOff>417965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2813" y="3446859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29766</xdr:colOff>
      <xdr:row>10</xdr:row>
      <xdr:rowOff>11906</xdr:rowOff>
    </xdr:from>
    <xdr:to>
      <xdr:col>4</xdr:col>
      <xdr:colOff>429872</xdr:colOff>
      <xdr:row>10</xdr:row>
      <xdr:rowOff>412012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6860" y="3869531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11</xdr:row>
      <xdr:rowOff>5953</xdr:rowOff>
    </xdr:from>
    <xdr:to>
      <xdr:col>4</xdr:col>
      <xdr:colOff>447731</xdr:colOff>
      <xdr:row>11</xdr:row>
      <xdr:rowOff>406059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4719" y="4292203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41672</xdr:colOff>
      <xdr:row>12</xdr:row>
      <xdr:rowOff>11906</xdr:rowOff>
    </xdr:from>
    <xdr:to>
      <xdr:col>4</xdr:col>
      <xdr:colOff>441778</xdr:colOff>
      <xdr:row>12</xdr:row>
      <xdr:rowOff>412012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8766" y="4726781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35719</xdr:colOff>
      <xdr:row>13</xdr:row>
      <xdr:rowOff>11906</xdr:rowOff>
    </xdr:from>
    <xdr:to>
      <xdr:col>4</xdr:col>
      <xdr:colOff>435825</xdr:colOff>
      <xdr:row>13</xdr:row>
      <xdr:rowOff>412012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2813" y="5155406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29765</xdr:colOff>
      <xdr:row>14</xdr:row>
      <xdr:rowOff>11907</xdr:rowOff>
    </xdr:from>
    <xdr:to>
      <xdr:col>4</xdr:col>
      <xdr:colOff>429871</xdr:colOff>
      <xdr:row>14</xdr:row>
      <xdr:rowOff>412013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6859" y="5584032"/>
          <a:ext cx="400106" cy="400106"/>
        </a:xfrm>
        <a:prstGeom prst="rect">
          <a:avLst/>
        </a:prstGeom>
      </xdr:spPr>
    </xdr:pic>
    <xdr:clientData/>
  </xdr:twoCellAnchor>
  <xdr:twoCellAnchor editAs="oneCell">
    <xdr:from>
      <xdr:col>4</xdr:col>
      <xdr:colOff>29765</xdr:colOff>
      <xdr:row>15</xdr:row>
      <xdr:rowOff>11906</xdr:rowOff>
    </xdr:from>
    <xdr:to>
      <xdr:col>4</xdr:col>
      <xdr:colOff>429871</xdr:colOff>
      <xdr:row>15</xdr:row>
      <xdr:rowOff>412012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6859" y="6012656"/>
          <a:ext cx="400106" cy="4001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>
      <selection activeCell="B7" sqref="B7"/>
    </sheetView>
  </sheetViews>
  <sheetFormatPr defaultRowHeight="15" x14ac:dyDescent="0.25"/>
  <cols>
    <col min="1" max="1" width="8.5" customWidth="1"/>
    <col min="2" max="9" width="14.625" customWidth="1"/>
    <col min="10" max="10" width="12.625" customWidth="1"/>
  </cols>
  <sheetData>
    <row r="1" spans="1:9" x14ac:dyDescent="0.25">
      <c r="A1" s="1" t="s">
        <v>2</v>
      </c>
    </row>
    <row r="4" spans="1:9" x14ac:dyDescent="0.25">
      <c r="A4" t="s">
        <v>0</v>
      </c>
    </row>
    <row r="6" spans="1:9" ht="39" customHeight="1" x14ac:dyDescent="0.25">
      <c r="B6" s="6"/>
      <c r="C6" s="6"/>
      <c r="D6" s="6"/>
      <c r="E6" s="6"/>
      <c r="F6" s="6"/>
      <c r="G6" s="6"/>
      <c r="H6" s="6"/>
      <c r="I6" s="6"/>
    </row>
    <row r="7" spans="1:9" ht="21.75" customHeight="1" x14ac:dyDescent="0.25">
      <c r="B7" s="7" t="s">
        <v>4</v>
      </c>
      <c r="C7" s="7" t="s">
        <v>12</v>
      </c>
      <c r="D7" s="7" t="s">
        <v>8</v>
      </c>
      <c r="E7" s="7" t="s">
        <v>9</v>
      </c>
      <c r="F7" s="7" t="s">
        <v>10</v>
      </c>
      <c r="G7" s="7" t="s">
        <v>3</v>
      </c>
      <c r="H7" s="7" t="s">
        <v>3</v>
      </c>
      <c r="I7" s="7" t="s">
        <v>5</v>
      </c>
    </row>
    <row r="8" spans="1:9" x14ac:dyDescent="0.25">
      <c r="B8" s="6"/>
      <c r="C8" s="6"/>
      <c r="D8" s="6"/>
      <c r="E8" s="6"/>
      <c r="F8" s="6"/>
      <c r="G8" s="6"/>
      <c r="H8" s="6"/>
      <c r="I8" s="6"/>
    </row>
    <row r="10" spans="1:9" ht="39" customHeight="1" x14ac:dyDescent="0.25">
      <c r="B10" s="6"/>
      <c r="C10" s="6"/>
      <c r="D10" s="6"/>
      <c r="E10" s="6"/>
      <c r="F10" s="6"/>
      <c r="G10" s="6"/>
      <c r="H10" s="6"/>
      <c r="I10" s="6"/>
    </row>
    <row r="11" spans="1:9" ht="21.75" customHeight="1" x14ac:dyDescent="0.25">
      <c r="B11" s="7" t="s">
        <v>8</v>
      </c>
      <c r="C11" s="7" t="s">
        <v>12</v>
      </c>
      <c r="D11" s="7" t="s">
        <v>8</v>
      </c>
      <c r="E11" s="7" t="s">
        <v>9</v>
      </c>
      <c r="F11" s="7" t="s">
        <v>10</v>
      </c>
      <c r="G11" s="7" t="s">
        <v>3</v>
      </c>
      <c r="H11" s="7" t="s">
        <v>3</v>
      </c>
      <c r="I11" s="7" t="s">
        <v>5</v>
      </c>
    </row>
    <row r="14" spans="1:9" ht="39" customHeight="1" x14ac:dyDescent="0.25">
      <c r="B14" s="6"/>
      <c r="C14" s="6"/>
      <c r="D14" s="6"/>
      <c r="E14" s="6"/>
      <c r="F14" s="6"/>
      <c r="G14" s="6"/>
      <c r="H14" s="6"/>
      <c r="I14" s="6"/>
    </row>
    <row r="15" spans="1:9" ht="21.75" customHeight="1" x14ac:dyDescent="0.25">
      <c r="B15" s="7" t="s">
        <v>13</v>
      </c>
      <c r="C15" s="7" t="s">
        <v>12</v>
      </c>
      <c r="D15" s="7" t="s">
        <v>8</v>
      </c>
      <c r="E15" s="7" t="s">
        <v>9</v>
      </c>
      <c r="F15" s="7" t="s">
        <v>10</v>
      </c>
      <c r="G15" s="7" t="s">
        <v>3</v>
      </c>
      <c r="H15" s="7" t="s">
        <v>3</v>
      </c>
      <c r="I15" s="7" t="s">
        <v>5</v>
      </c>
    </row>
    <row r="18" spans="2:9" x14ac:dyDescent="0.25">
      <c r="B18" s="6"/>
      <c r="C18" s="6"/>
      <c r="D18" s="6"/>
      <c r="E18" s="6"/>
      <c r="F18" s="6"/>
      <c r="G18" s="6"/>
      <c r="H18" s="6"/>
      <c r="I18" s="6"/>
    </row>
    <row r="19" spans="2:9" x14ac:dyDescent="0.25">
      <c r="B19" s="6"/>
      <c r="C19" s="6"/>
      <c r="D19" s="6"/>
      <c r="E19" s="6"/>
      <c r="F19" s="6"/>
      <c r="G19" s="6"/>
      <c r="H19" s="6"/>
      <c r="I19" s="6"/>
    </row>
    <row r="20" spans="2:9" x14ac:dyDescent="0.25">
      <c r="B20" s="6"/>
      <c r="C20" s="6"/>
      <c r="D20" s="6"/>
      <c r="E20" s="6"/>
      <c r="F20" s="6"/>
      <c r="G20" s="6"/>
      <c r="H20" s="6"/>
      <c r="I20" s="6"/>
    </row>
    <row r="21" spans="2:9" x14ac:dyDescent="0.25">
      <c r="B21" s="6"/>
      <c r="C21" s="6"/>
      <c r="D21" s="6"/>
      <c r="E21" s="6"/>
      <c r="F21" s="6"/>
      <c r="G21" s="6"/>
      <c r="H21" s="6"/>
      <c r="I21" s="6"/>
    </row>
  </sheetData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Skills!$A$3:$A$16</xm:f>
          </x14:formula1>
          <xm:sqref>B7:I7</xm:sqref>
        </x14:dataValidation>
        <x14:dataValidation type="list" allowBlank="1" showInputMessage="1" showErrorMessage="1">
          <x14:formula1>
            <xm:f>Skills!$A$3:$A$16</xm:f>
          </x14:formula1>
          <xm:sqref>B11:I11</xm:sqref>
        </x14:dataValidation>
        <x14:dataValidation type="list" allowBlank="1" showInputMessage="1" showErrorMessage="1">
          <x14:formula1>
            <xm:f>Skills!$A$3:$A$16</xm:f>
          </x14:formula1>
          <xm:sqref>B15:I15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"/>
  <sheetViews>
    <sheetView zoomScale="85" zoomScaleNormal="85" workbookViewId="0">
      <selection activeCell="G3" sqref="G3"/>
    </sheetView>
  </sheetViews>
  <sheetFormatPr defaultRowHeight="33.950000000000003" customHeight="1" x14ac:dyDescent="0.25"/>
  <cols>
    <col min="1" max="1" width="17.875" style="2" customWidth="1"/>
    <col min="2" max="4" width="9" style="2"/>
    <col min="5" max="5" width="6" customWidth="1"/>
    <col min="7" max="7" width="14.625" customWidth="1"/>
  </cols>
  <sheetData>
    <row r="1" spans="1:7" ht="33.950000000000003" customHeight="1" x14ac:dyDescent="0.25">
      <c r="A1" s="3" t="s">
        <v>0</v>
      </c>
      <c r="B1" s="3" t="s">
        <v>2</v>
      </c>
      <c r="C1" s="3" t="s">
        <v>1</v>
      </c>
      <c r="D1" s="4" t="s">
        <v>17</v>
      </c>
      <c r="G1" s="5" t="str">
        <f>IF(Crafting!B7="Basic Synthesis","BasicSynthesis",IF(Crafting!B7="Basic Touch","BasicTouch",IF(Crafting!B7="Master's Mend","MastersMend",IF(Crafting!B7="Steady Hand","SteadyHand",IF(Crafting!B7="Inner Quiet","InnerQuiet",IF(Crafting!B7="Observe","Observe",IF(Crafting!B7="Careful Synthesis","CarefulSynthesis",IF(Crafting!B7="Standard Touch","StandardTouch",IF(Crafting!B7="Great Strides","GreatStrides",IF(Crafting!B7="Master's Mend II","MastersMendII",IF(Crafting!B7="Standard Synthesis","StandardSynthesis",IF(Crafting!B7="Advanced Touch","AdvancedTouch",IF(Crafting!B7="Careful Synthesis II","CarefulSynthesisII",IF(Crafting!B7="Byregot's Brow","ByregotsBrow",IF(Crafting!B7="","",IF(Crafting!B7="","",IF(Crafting!B7="","",IF(Crafting!B7="","",IF(Crafting!B7="","",IF(Crafting!B7="","",IF(Crafting!B7="","",IF(Crafting!B7="","",IF(Crafting!B7="","",IF(Crafting!B7="","",IF(Crafting!B7="","",IF(Crafting!B7="","",IF(Crafting!B7="","",IF(Crafting!B7="","","NULL"))))))))))))))))))))))))))))</f>
        <v>BasicSynthesis</v>
      </c>
    </row>
    <row r="2" spans="1:7" ht="33.950000000000003" customHeight="1" x14ac:dyDescent="0.25">
      <c r="A2" s="2" t="s">
        <v>18</v>
      </c>
      <c r="B2" s="2" t="s">
        <v>19</v>
      </c>
      <c r="C2" s="2" t="s">
        <v>19</v>
      </c>
      <c r="D2" s="2" t="s">
        <v>19</v>
      </c>
      <c r="G2" s="5" t="str">
        <f>IF(Crafting!C7="Basic Synthesis","BasicSynthesis",IF(Crafting!C7="Basic Touch","BasicTouch",IF(Crafting!C7="Master's Mend","MastersMend",IF(Crafting!C7="Steady Hand","SteadyHand",IF(Crafting!C7="Inner Quiet","InnerQuiet",IF(Crafting!C7="Observe","Observe",IF(Crafting!C7="Careful Synthesis","CarefulSynthesis",IF(Crafting!C7="Standard Touch","StandardTouch",IF(Crafting!C7="Great Strides","GreatStrides",IF(Crafting!C7="Master's Mend II","MastersMendII",IF(Crafting!C7="Standard Synthesis","StandardSynthesis",IF(Crafting!C7="Advanced Touch","AdvancedTouch",IF(Crafting!C7="Careful Synthesis II","CarefulSynthesisII",IF(Crafting!C7="Byregot's Brow","ByregotsBrow",IF(Crafting!C7="","",IF(Crafting!C7="","",IF(Crafting!C7="","",IF(Crafting!C7="","",IF(Crafting!C7="","",IF(Crafting!C7="","",IF(Crafting!C7="","",IF(Crafting!C7="","",IF(Crafting!C7="","",IF(Crafting!C7="","",IF(Crafting!C7="","",IF(Crafting!C7="","",IF(Crafting!C7="","",IF(Crafting!C7="","","NULL"))))))))))))))))))))))))))))</f>
        <v>MastersMendII</v>
      </c>
    </row>
    <row r="3" spans="1:7" ht="33.950000000000003" customHeight="1" x14ac:dyDescent="0.25">
      <c r="A3" s="2" t="s">
        <v>4</v>
      </c>
      <c r="B3" s="2">
        <v>0</v>
      </c>
      <c r="C3" s="2">
        <v>3</v>
      </c>
      <c r="D3" s="2">
        <v>1</v>
      </c>
      <c r="G3" t="str">
        <f>IF(Crafting!D7="Basic Synthesis","BasicSynthesis",IF(Crafting!D7="Basic Touch","BasicTouch",IF(Crafting!D7="Master's Mend","MastersMend",IF(Crafting!D7="Steady Hand","SteadyHand",IF(Crafting!D7="Inner Quiet","InnerQuiet",IF(Crafting!D7="Observe","Observe",IF(Crafting!D7="Careful Synthesis","CarefulSynthesis",IF(Crafting!D7="Standard Touch","StandardTouch",IF(Crafting!D7="Great Strides","GreatStrides",IF(Crafting!D7="Master's Mend II","MastersMendII",IF(Crafting!D7="Standard Synthesis","StandardSynthesis",IF(Crafting!D7="Advanced Touch","AdvancedTouch",IF(Crafting!D7="Careful Synthesis II","CarefulSynthesisII",IF(Crafting!D7="Byregot's Brow","ByregotsBrow",IF(Crafting!D7="","",IF(Crafting!D7="","",IF(Crafting!D7="","",IF(Crafting!D7="","",IF(Crafting!D7="","",IF(Crafting!D7="","",IF(Crafting!D7="","",IF(Crafting!D7="","",IF(Crafting!D7="","",IF(Crafting!D7="","",IF(Crafting!D7="","",IF(Crafting!D7="","",IF(Crafting!D7="","",IF(Crafting!D7="","","NULL"))))))))))))))))))))))))))))</f>
        <v>Observe</v>
      </c>
    </row>
    <row r="4" spans="1:7" ht="33.950000000000003" customHeight="1" x14ac:dyDescent="0.25">
      <c r="A4" s="2" t="s">
        <v>3</v>
      </c>
      <c r="B4" s="2">
        <v>18</v>
      </c>
      <c r="C4" s="2">
        <v>3</v>
      </c>
      <c r="D4" s="2">
        <v>5</v>
      </c>
      <c r="G4" t="str">
        <f>IF(Crafting!E7="Basic Synthesis","BasicSynthesis",IF(Crafting!E7="Basic Touch","BasicTouch",IF(Crafting!E7="Master's Mend","MastersMend",IF(Crafting!E7="Steady Hand","SteadyHand",IF(Crafting!E7="Inner Quiet","InnerQuiet",IF(Crafting!E7="Observe","Observe",IF(Crafting!E7="Careful Synthesis","CarefulSynthesis",IF(Crafting!E7="Standard Touch","StandardTouch",IF(Crafting!E7="Great Strides","GreatStrides",IF(Crafting!E7="Master's Mend II","MastersMendII",IF(Crafting!E7="Standard Synthesis","StandardSynthesis",IF(Crafting!E7="Advanced Touch","AdvancedTouch",IF(Crafting!E7="Careful Synthesis II","CarefulSynthesisII",IF(Crafting!E7="Byregot's Brow","ByregotsBrow",IF(Crafting!E7="","",IF(Crafting!E7="","",IF(Crafting!E7="","",IF(Crafting!E7="","",IF(Crafting!E7="","",IF(Crafting!E7="","",IF(Crafting!E7="","",IF(Crafting!E7="","",IF(Crafting!E7="","",IF(Crafting!E7="","",IF(Crafting!E7="","",IF(Crafting!E7="","",IF(Crafting!E7="","",IF(Crafting!E7="","","NULL"))))))))))))))))))))))))))))</f>
        <v>CarefulSynthesis</v>
      </c>
    </row>
    <row r="5" spans="1:7" ht="33.950000000000003" customHeight="1" x14ac:dyDescent="0.25">
      <c r="A5" s="2" t="s">
        <v>5</v>
      </c>
      <c r="B5" s="2">
        <v>92</v>
      </c>
      <c r="C5" s="2">
        <v>2</v>
      </c>
      <c r="D5" s="2">
        <v>7</v>
      </c>
      <c r="G5" t="str">
        <f>IF(Crafting!F7="Basic Synthesis","BasicSynthesis",IF(Crafting!F7="Basic Touch","BasicTouch",IF(Crafting!F7="Master's Mend","MastersMend",IF(Crafting!F7="Steady Hand","SteadyHand",IF(Crafting!F7="Inner Quiet","InnerQuiet",IF(Crafting!F7="Observe","Observe",IF(Crafting!F7="Careful Synthesis","CarefulSynthesis",IF(Crafting!F7="Standard Touch","StandardTouch",IF(Crafting!F7="Great Strides","GreatStrides",IF(Crafting!F7="Master's Mend II","MastersMendII",IF(Crafting!F7="Standard Synthesis","StandardSynthesis",IF(Crafting!F7="Advanced Touch","AdvancedTouch",IF(Crafting!F7="Careful Synthesis II","CarefulSynthesisII",IF(Crafting!F7="Byregot's Brow","ByregotsBrow",IF(Crafting!F7="","",IF(Crafting!F7="","",IF(Crafting!F7="","",IF(Crafting!F7="","",IF(Crafting!F7="","",IF(Crafting!F7="","",IF(Crafting!F7="","",IF(Crafting!F7="","",IF(Crafting!F7="","",IF(Crafting!F7="","",IF(Crafting!F7="","",IF(Crafting!F7="","",IF(Crafting!F7="","",IF(Crafting!F7="","","NULL"))))))))))))))))))))))))))))</f>
        <v>StandardTouch</v>
      </c>
    </row>
    <row r="6" spans="1:7" ht="33.950000000000003" customHeight="1" x14ac:dyDescent="0.25">
      <c r="A6" s="2" t="s">
        <v>6</v>
      </c>
      <c r="B6" s="2">
        <v>22</v>
      </c>
      <c r="C6" s="2">
        <v>2</v>
      </c>
      <c r="D6" s="2">
        <v>9</v>
      </c>
      <c r="G6" t="str">
        <f>IF(Crafting!G7="Basic Synthesis","BasicSynthesis",IF(Crafting!G7="Basic Touch","BasicTouch",IF(Crafting!G7="Master's Mend","MastersMend",IF(Crafting!G7="Steady Hand","SteadyHand",IF(Crafting!G7="Inner Quiet","InnerQuiet",IF(Crafting!G7="Observe","Observe",IF(Crafting!G7="Careful Synthesis","CarefulSynthesis",IF(Crafting!G7="Standard Touch","StandardTouch",IF(Crafting!G7="Great Strides","GreatStrides",IF(Crafting!G7="Master's Mend II","MastersMendII",IF(Crafting!G7="Standard Synthesis","StandardSynthesis",IF(Crafting!G7="Advanced Touch","AdvancedTouch",IF(Crafting!G7="Careful Synthesis II","CarefulSynthesisII",IF(Crafting!G7="Byregot's Brow","ByregotsBrow",IF(Crafting!G7="","",IF(Crafting!G7="","",IF(Crafting!G7="","",IF(Crafting!G7="","",IF(Crafting!G7="","",IF(Crafting!G7="","",IF(Crafting!G7="","",IF(Crafting!G7="","",IF(Crafting!G7="","",IF(Crafting!G7="","",IF(Crafting!G7="","",IF(Crafting!G7="","",IF(Crafting!G7="","",IF(Crafting!G7="","","NULL"))))))))))))))))))))))))))))</f>
        <v>BasicTouch</v>
      </c>
    </row>
    <row r="7" spans="1:7" ht="33.950000000000003" customHeight="1" x14ac:dyDescent="0.25">
      <c r="A7" s="2" t="s">
        <v>7</v>
      </c>
      <c r="B7" s="2">
        <v>18</v>
      </c>
      <c r="C7" s="2">
        <v>2</v>
      </c>
      <c r="D7" s="2">
        <v>11</v>
      </c>
      <c r="G7" t="str">
        <f>IF(Crafting!H7="Basic Synthesis","BasicSynthesis",IF(Crafting!H7="Basic Touch","BasicTouch",IF(Crafting!H7="Master's Mend","MastersMend",IF(Crafting!H7="Steady Hand","SteadyHand",IF(Crafting!H7="Inner Quiet","InnerQuiet",IF(Crafting!H7="Observe","Observe",IF(Crafting!H7="Careful Synthesis","CarefulSynthesis",IF(Crafting!H7="Standard Touch","StandardTouch",IF(Crafting!H7="Great Strides","GreatStrides",IF(Crafting!H7="Master's Mend II","MastersMendII",IF(Crafting!H7="Standard Synthesis","StandardSynthesis",IF(Crafting!H7="Advanced Touch","AdvancedTouch",IF(Crafting!H7="Careful Synthesis II","CarefulSynthesisII",IF(Crafting!H7="Byregot's Brow","ByregotsBrow",IF(Crafting!H7="","",IF(Crafting!H7="","",IF(Crafting!H7="","",IF(Crafting!H7="","",IF(Crafting!H7="","",IF(Crafting!H7="","",IF(Crafting!H7="","",IF(Crafting!H7="","",IF(Crafting!H7="","",IF(Crafting!H7="","",IF(Crafting!H7="","",IF(Crafting!H7="","",IF(Crafting!H7="","",IF(Crafting!H7="","","NULL"))))))))))))))))))))))))))))</f>
        <v>BasicTouch</v>
      </c>
    </row>
    <row r="8" spans="1:7" ht="33.950000000000003" customHeight="1" x14ac:dyDescent="0.25">
      <c r="A8" s="2" t="s">
        <v>8</v>
      </c>
      <c r="B8" s="2">
        <v>14</v>
      </c>
      <c r="C8" s="2">
        <v>2</v>
      </c>
      <c r="D8" s="2">
        <v>13</v>
      </c>
      <c r="G8" t="str">
        <f>IF(Crafting!I7="Basic Synthesis","BasicSynthesis",IF(Crafting!I7="Basic Touch","BasicTouch",IF(Crafting!I7="Master's Mend","MastersMend",IF(Crafting!I7="Steady Hand","SteadyHand",IF(Crafting!I7="Inner Quiet","InnerQuiet",IF(Crafting!I7="Observe","Observe",IF(Crafting!I7="Careful Synthesis","CarefulSynthesis",IF(Crafting!I7="Standard Touch","StandardTouch",IF(Crafting!I7="Great Strides","GreatStrides",IF(Crafting!I7="Master's Mend II","MastersMendII",IF(Crafting!I7="Standard Synthesis","StandardSynthesis",IF(Crafting!I7="Advanced Touch","AdvancedTouch",IF(Crafting!I7="Careful Synthesis II","CarefulSynthesisII",IF(Crafting!I7="Byregot's Brow","ByregotsBrow",IF(Crafting!I7="","",IF(Crafting!I7="","",IF(Crafting!I7="","",IF(Crafting!I7="","",IF(Crafting!I7="","",IF(Crafting!I7="","",IF(Crafting!I7="","",IF(Crafting!I7="","",IF(Crafting!I7="","",IF(Crafting!I7="","",IF(Crafting!I7="","",IF(Crafting!I7="","",IF(Crafting!I7="","",IF(Crafting!I7="","","NULL"))))))))))))))))))))))))))))</f>
        <v>MastersMend</v>
      </c>
    </row>
    <row r="9" spans="1:7" ht="33.950000000000003" customHeight="1" x14ac:dyDescent="0.25">
      <c r="A9" s="2" t="s">
        <v>9</v>
      </c>
      <c r="B9" s="2">
        <v>0</v>
      </c>
      <c r="C9" s="2">
        <v>3</v>
      </c>
      <c r="D9" s="2">
        <v>15</v>
      </c>
      <c r="G9" t="str">
        <f>IF(Crafting!B11="Basic Synthesis","BasicSynthesis",IF(Crafting!B11="Basic Touch","BasicTouch",IF(Crafting!B11="Master's Mend","MastersMend",IF(Crafting!B11="Steady Hand","SteadyHand",IF(Crafting!B11="Inner Quiet","InnerQuiet",IF(Crafting!B11="Observe","Observe",IF(Crafting!B11="Careful Synthesis","CarefulSynthesis",IF(Crafting!B11="Standard Touch","StandardTouch",IF(Crafting!B11="Great Strides","GreatStrides",IF(Crafting!B11="Master's Mend II","MastersMendII",IF(Crafting!B11="Standard Synthesis","StandardSynthesis",IF(Crafting!B11="Advanced Touch","AdvancedTouch",IF(Crafting!B11="Careful Synthesis II","CarefulSynthesisII",IF(Crafting!B11="Byregot's Brow","ByregotsBrow",IF(Crafting!B11="","",IF(Crafting!B11="","",IF(Crafting!B11="","",IF(Crafting!B11="","",IF(Crafting!B11="","",IF(Crafting!B11="","",IF(Crafting!B11="","",IF(Crafting!B11="","",IF(Crafting!B11="","",IF(Crafting!B11="","",IF(Crafting!B11="","",IF(Crafting!B11="","",IF(Crafting!B11="","",IF(Crafting!B11="","","NULL"))))))))))))))))))))))))))))</f>
        <v>Observe</v>
      </c>
    </row>
    <row r="10" spans="1:7" ht="33.950000000000003" customHeight="1" x14ac:dyDescent="0.25">
      <c r="A10" s="2" t="s">
        <v>10</v>
      </c>
      <c r="B10" s="2">
        <v>32</v>
      </c>
      <c r="C10" s="2">
        <v>3</v>
      </c>
      <c r="D10" s="2">
        <v>18</v>
      </c>
      <c r="G10" s="5" t="str">
        <f>IF(Crafting!C11="Basic Synthesis","BasicSynthesis",IF(Crafting!C11="Basic Touch","BasicTouch",IF(Crafting!C11="Master's Mend","MastersMend",IF(Crafting!C11="Steady Hand","SteadyHand",IF(Crafting!C11="Inner Quiet","InnerQuiet",IF(Crafting!C11="Observe","Observe",IF(Crafting!C11="Careful Synthesis","CarefulSynthesis",IF(Crafting!C11="Standard Touch","StandardTouch",IF(Crafting!C11="Great Strides","GreatStrides",IF(Crafting!C11="Master's Mend II","MastersMendII",IF(Crafting!C11="Standard Synthesis","StandardSynthesis",IF(Crafting!C11="Advanced Touch","AdvancedTouch",IF(Crafting!C11="Careful Synthesis II","CarefulSynthesisII",IF(Crafting!C11="Byregot's Brow","ByregotsBrow",IF(Crafting!C11="","",IF(Crafting!C11="","",IF(Crafting!C11="","",IF(Crafting!C11="","",IF(Crafting!C11="","",IF(Crafting!C11="","",IF(Crafting!C11="","",IF(Crafting!C11="","",IF(Crafting!C11="","",IF(Crafting!C11="","",IF(Crafting!C11="","",IF(Crafting!C11="","",IF(Crafting!C11="","",IF(Crafting!C11="","","NULL"))))))))))))))))))))))))))))</f>
        <v>MastersMendII</v>
      </c>
    </row>
    <row r="11" spans="1:7" ht="33.950000000000003" customHeight="1" x14ac:dyDescent="0.25">
      <c r="A11" s="2" t="s">
        <v>11</v>
      </c>
      <c r="B11" s="2">
        <v>32</v>
      </c>
      <c r="C11" s="2">
        <v>3</v>
      </c>
      <c r="D11" s="2">
        <v>21</v>
      </c>
      <c r="G11" s="5" t="str">
        <f>IF(Crafting!D11="Basic Synthesis","BasicSynthesis",IF(Crafting!D11="Basic Touch","BasicTouch",IF(Crafting!D11="Master's Mend","MastersMend",IF(Crafting!D11="Steady Hand","SteadyHand",IF(Crafting!D11="Inner Quiet","InnerQuiet",IF(Crafting!D11="Observe","Observe",IF(Crafting!D11="Careful Synthesis","CarefulSynthesis",IF(Crafting!D11="Standard Touch","StandardTouch",IF(Crafting!D11="Great Strides","GreatStrides",IF(Crafting!D11="Master's Mend II","MastersMendII",IF(Crafting!D11="Standard Synthesis","StandardSynthesis",IF(Crafting!D11="Advanced Touch","AdvancedTouch",IF(Crafting!D11="Careful Synthesis II","CarefulSynthesisII",IF(Crafting!D11="Byregot's Brow","ByregotsBrow",IF(Crafting!D11="","",IF(Crafting!D11="","",IF(Crafting!D11="","",IF(Crafting!D11="","",IF(Crafting!D11="","",IF(Crafting!D11="","",IF(Crafting!D11="","",IF(Crafting!D11="","",IF(Crafting!D11="","",IF(Crafting!D11="","",IF(Crafting!D11="","",IF(Crafting!D11="","",IF(Crafting!D11="","",IF(Crafting!D11="","","NULL"))))))))))))))))))))))))))))</f>
        <v>Observe</v>
      </c>
    </row>
    <row r="12" spans="1:7" ht="33.950000000000003" customHeight="1" x14ac:dyDescent="0.25">
      <c r="A12" s="2" t="s">
        <v>12</v>
      </c>
      <c r="B12" s="2">
        <v>160</v>
      </c>
      <c r="C12" s="2">
        <v>2</v>
      </c>
      <c r="D12" s="2">
        <v>25</v>
      </c>
      <c r="G12" t="str">
        <f>IF(Crafting!E11="Basic Synthesis","BasicSynthesis",IF(Crafting!E11="Basic Touch","BasicTouch",IF(Crafting!E11="Master's Mend","MastersMend",IF(Crafting!E11="Steady Hand","SteadyHand",IF(Crafting!E11="Inner Quiet","InnerQuiet",IF(Crafting!E11="Observe","Observe",IF(Crafting!E11="Careful Synthesis","CarefulSynthesis",IF(Crafting!E11="Standard Touch","StandardTouch",IF(Crafting!E11="Great Strides","GreatStrides",IF(Crafting!E11="Master's Mend II","MastersMendII",IF(Crafting!E11="Standard Synthesis","StandardSynthesis",IF(Crafting!E11="Advanced Touch","AdvancedTouch",IF(Crafting!E11="Careful Synthesis II","CarefulSynthesisII",IF(Crafting!E11="Byregot's Brow","ByregotsBrow",IF(Crafting!E11="","",IF(Crafting!E11="","",IF(Crafting!E11="","",IF(Crafting!E11="","",IF(Crafting!E11="","",IF(Crafting!E11="","",IF(Crafting!E11="","",IF(Crafting!E11="","",IF(Crafting!E11="","",IF(Crafting!E11="","",IF(Crafting!E11="","",IF(Crafting!E11="","",IF(Crafting!E11="","",IF(Crafting!E11="","","NULL"))))))))))))))))))))))))))))</f>
        <v>CarefulSynthesis</v>
      </c>
    </row>
    <row r="13" spans="1:7" ht="33.950000000000003" customHeight="1" x14ac:dyDescent="0.25">
      <c r="A13" s="2" t="s">
        <v>13</v>
      </c>
      <c r="B13" s="2">
        <v>15</v>
      </c>
      <c r="C13" s="2">
        <v>3</v>
      </c>
      <c r="D13" s="2">
        <v>31</v>
      </c>
      <c r="G13" t="str">
        <f>IF(Crafting!F11="Basic Synthesis","BasicSynthesis",IF(Crafting!F11="Basic Touch","BasicTouch",IF(Crafting!F11="Master's Mend","MastersMend",IF(Crafting!F11="Steady Hand","SteadyHand",IF(Crafting!F11="Inner Quiet","InnerQuiet",IF(Crafting!F11="Observe","Observe",IF(Crafting!F11="Careful Synthesis","CarefulSynthesis",IF(Crafting!F11="Standard Touch","StandardTouch",IF(Crafting!F11="Great Strides","GreatStrides",IF(Crafting!F11="Master's Mend II","MastersMendII",IF(Crafting!F11="Standard Synthesis","StandardSynthesis",IF(Crafting!F11="Advanced Touch","AdvancedTouch",IF(Crafting!F11="Careful Synthesis II","CarefulSynthesisII",IF(Crafting!F11="Byregot's Brow","ByregotsBrow",IF(Crafting!F11="","",IF(Crafting!F11="","",IF(Crafting!F11="","",IF(Crafting!F11="","",IF(Crafting!F11="","",IF(Crafting!F11="","",IF(Crafting!F11="","",IF(Crafting!F11="","",IF(Crafting!F11="","",IF(Crafting!F11="","",IF(Crafting!F11="","",IF(Crafting!F11="","",IF(Crafting!F11="","",IF(Crafting!F11="","","NULL"))))))))))))))))))))))))))))</f>
        <v>StandardTouch</v>
      </c>
    </row>
    <row r="14" spans="1:7" ht="33.950000000000003" customHeight="1" x14ac:dyDescent="0.25">
      <c r="A14" s="2" t="s">
        <v>14</v>
      </c>
      <c r="B14" s="2">
        <v>48</v>
      </c>
      <c r="C14" s="2">
        <v>3</v>
      </c>
      <c r="D14" s="2">
        <v>43</v>
      </c>
      <c r="G14" t="str">
        <f>IF(Crafting!G11="Basic Synthesis","BasicSynthesis",IF(Crafting!G11="Basic Touch","BasicTouch",IF(Crafting!G11="Master's Mend","MastersMend",IF(Crafting!G11="Steady Hand","SteadyHand",IF(Crafting!G11="Inner Quiet","InnerQuiet",IF(Crafting!G11="Observe","Observe",IF(Crafting!G11="Careful Synthesis","CarefulSynthesis",IF(Crafting!G11="Standard Touch","StandardTouch",IF(Crafting!G11="Great Strides","GreatStrides",IF(Crafting!G11="Master's Mend II","MastersMendII",IF(Crafting!G11="Standard Synthesis","StandardSynthesis",IF(Crafting!G11="Advanced Touch","AdvancedTouch",IF(Crafting!G11="Careful Synthesis II","CarefulSynthesisII",IF(Crafting!G11="Byregot's Brow","ByregotsBrow",IF(Crafting!G11="","",IF(Crafting!G11="","",IF(Crafting!G11="","",IF(Crafting!G11="","",IF(Crafting!G11="","",IF(Crafting!G11="","",IF(Crafting!G11="","",IF(Crafting!G11="","",IF(Crafting!G11="","",IF(Crafting!G11="","",IF(Crafting!G11="","",IF(Crafting!G11="","",IF(Crafting!G11="","",IF(Crafting!G11="","","NULL"))))))))))))))))))))))))))))</f>
        <v>BasicTouch</v>
      </c>
    </row>
    <row r="15" spans="1:7" ht="33.950000000000003" customHeight="1" x14ac:dyDescent="0.25">
      <c r="A15" s="2" t="s">
        <v>15</v>
      </c>
      <c r="B15" s="2">
        <v>0</v>
      </c>
      <c r="C15" s="2">
        <v>3</v>
      </c>
      <c r="D15" s="2">
        <v>50</v>
      </c>
      <c r="G15" t="str">
        <f>IF(Crafting!H11="Basic Synthesis","BasicSynthesis",IF(Crafting!H11="Basic Touch","BasicTouch",IF(Crafting!H11="Master's Mend","MastersMend",IF(Crafting!H11="Steady Hand","SteadyHand",IF(Crafting!H11="Inner Quiet","InnerQuiet",IF(Crafting!H11="Observe","Observe",IF(Crafting!H11="Careful Synthesis","CarefulSynthesis",IF(Crafting!H11="Standard Touch","StandardTouch",IF(Crafting!H11="Great Strides","GreatStrides",IF(Crafting!H11="Master's Mend II","MastersMendII",IF(Crafting!H11="Standard Synthesis","StandardSynthesis",IF(Crafting!H11="Advanced Touch","AdvancedTouch",IF(Crafting!H11="Careful Synthesis II","CarefulSynthesisII",IF(Crafting!H11="Byregot's Brow","ByregotsBrow",IF(Crafting!H11="","",IF(Crafting!H11="","",IF(Crafting!H11="","",IF(Crafting!H11="","",IF(Crafting!H11="","",IF(Crafting!H11="","",IF(Crafting!H11="","",IF(Crafting!H11="","",IF(Crafting!H11="","",IF(Crafting!H11="","",IF(Crafting!H11="","",IF(Crafting!H11="","",IF(Crafting!H11="","",IF(Crafting!H11="","","NULL"))))))))))))))))))))))))))))</f>
        <v>BasicTouch</v>
      </c>
    </row>
    <row r="16" spans="1:7" ht="33.950000000000003" customHeight="1" x14ac:dyDescent="0.25">
      <c r="A16" s="2" t="s">
        <v>16</v>
      </c>
      <c r="B16" s="2">
        <v>18</v>
      </c>
      <c r="C16" s="2">
        <v>3</v>
      </c>
      <c r="D16" s="2">
        <v>51</v>
      </c>
      <c r="G16" t="str">
        <f>IF(Crafting!I11="Basic Synthesis","BasicSynthesis",IF(Crafting!I11="Basic Touch","BasicTouch",IF(Crafting!I11="Master's Mend","MastersMend",IF(Crafting!I11="Steady Hand","SteadyHand",IF(Crafting!I11="Inner Quiet","InnerQuiet",IF(Crafting!I11="Observe","Observe",IF(Crafting!I11="Careful Synthesis","CarefulSynthesis",IF(Crafting!I11="Standard Touch","StandardTouch",IF(Crafting!I11="Great Strides","GreatStrides",IF(Crafting!I11="Master's Mend II","MastersMendII",IF(Crafting!I11="Standard Synthesis","StandardSynthesis",IF(Crafting!I11="Advanced Touch","AdvancedTouch",IF(Crafting!I11="Careful Synthesis II","CarefulSynthesisII",IF(Crafting!I11="Byregot's Brow","ByregotsBrow",IF(Crafting!I11="","",IF(Crafting!I11="","",IF(Crafting!I11="","",IF(Crafting!I11="","",IF(Crafting!I11="","",IF(Crafting!I11="","",IF(Crafting!I11="","",IF(Crafting!I11="","",IF(Crafting!I11="","",IF(Crafting!I11="","",IF(Crafting!I11="","",IF(Crafting!I11="","",IF(Crafting!I11="","",IF(Crafting!I11="","","NULL"))))))))))))))))))))))))))))</f>
        <v>MastersMend</v>
      </c>
    </row>
    <row r="17" spans="7:7" ht="33.950000000000003" customHeight="1" x14ac:dyDescent="0.25">
      <c r="G17" t="str">
        <f>IF(Crafting!B15="Basic Synthesis","BasicSynthesis",IF(Crafting!B15="Basic Touch","BasicTouch",IF(Crafting!B15="Master's Mend","MastersMend",IF(Crafting!B15="Steady Hand","SteadyHand",IF(Crafting!B15="Inner Quiet","InnerQuiet",IF(Crafting!B15="Observe","Observe",IF(Crafting!B15="Careful Synthesis","CarefulSynthesis",IF(Crafting!B15="Standard Touch","StandardTouch",IF(Crafting!B15="Great Strides","GreatStrides",IF(Crafting!B15="Master's Mend II","MastersMendII",IF(Crafting!B15="Standard Synthesis","StandardSynthesis",IF(Crafting!B15="Advanced Touch","AdvancedTouch",IF(Crafting!B15="Careful Synthesis II","CarefulSynthesisII",IF(Crafting!B15="Byregot's Brow","ByregotsBrow",IF(Crafting!B15="","",IF(Crafting!B15="","",IF(Crafting!B15="","",IF(Crafting!B15="","",IF(Crafting!B15="","",IF(Crafting!B15="","",IF(Crafting!B15="","",IF(Crafting!B15="","",IF(Crafting!B15="","",IF(Crafting!B15="","",IF(Crafting!B15="","",IF(Crafting!B15="","",IF(Crafting!B15="","",IF(Crafting!B15="","","NULL"))))))))))))))))))))))))))))</f>
        <v>StandardSynthesis</v>
      </c>
    </row>
    <row r="18" spans="7:7" ht="33.950000000000003" customHeight="1" x14ac:dyDescent="0.25">
      <c r="G18" t="str">
        <f>IF(Crafting!C15="Basic Synthesis","BasicSynthesis",IF(Crafting!C15="Basic Touch","BasicTouch",IF(Crafting!C15="Master's Mend","MastersMend",IF(Crafting!C15="Steady Hand","SteadyHand",IF(Crafting!C15="Inner Quiet","InnerQuiet",IF(Crafting!C15="Observe","Observe",IF(Crafting!C15="Careful Synthesis","CarefulSynthesis",IF(Crafting!C15="Standard Touch","StandardTouch",IF(Crafting!C15="Great Strides","GreatStrides",IF(Crafting!C15="Master's Mend II","MastersMendII",IF(Crafting!C15="Standard Synthesis","StandardSynthesis",IF(Crafting!C15="Advanced Touch","AdvancedTouch",IF(Crafting!C15="Careful Synthesis II","CarefulSynthesisII",IF(Crafting!C15="Byregot's Brow","ByregotsBrow",IF(Crafting!C15="","",IF(Crafting!C15="","",IF(Crafting!C15="","",IF(Crafting!C15="","",IF(Crafting!C15="","",IF(Crafting!C15="","",IF(Crafting!C15="","",IF(Crafting!C15="","",IF(Crafting!C15="","",IF(Crafting!C15="","",IF(Crafting!C15="","",IF(Crafting!C15="","",IF(Crafting!C15="","",IF(Crafting!C15="","","NULL"))))))))))))))))))))))))))))</f>
        <v>MastersMendII</v>
      </c>
    </row>
    <row r="19" spans="7:7" ht="33.950000000000003" customHeight="1" x14ac:dyDescent="0.25">
      <c r="G19" s="5" t="str">
        <f>IF(Crafting!D15="Basic Synthesis","BasicSynthesis",IF(Crafting!D15="Basic Touch","BasicTouch",IF(Crafting!D15="Master's Mend","MastersMend",IF(Crafting!D15="Steady Hand","SteadyHand",IF(Crafting!D15="Inner Quiet","InnerQuiet",IF(Crafting!D15="Observe","Observe",IF(Crafting!D15="Careful Synthesis","CarefulSynthesis",IF(Crafting!D15="Standard Touch","StandardTouch",IF(Crafting!D15="Great Strides","GreatStrides",IF(Crafting!D15="Master's Mend II","MastersMendII",IF(Crafting!D15="Standard Synthesis","StandardSynthesis",IF(Crafting!D15="Advanced Touch","AdvancedTouch",IF(Crafting!D15="Careful Synthesis II","CarefulSynthesisII",IF(Crafting!D15="Byregot's Brow","ByregotsBrow",IF(Crafting!D15="","",IF(Crafting!D15="","",IF(Crafting!D15="","",IF(Crafting!D15="","",IF(Crafting!D15="","",IF(Crafting!D15="","",IF(Crafting!D15="","",IF(Crafting!D15="","",IF(Crafting!D15="","",IF(Crafting!D15="","",IF(Crafting!D15="","",IF(Crafting!D15="","",IF(Crafting!D15="","",IF(Crafting!D15="","","NULL"))))))))))))))))))))))))))))</f>
        <v>Observe</v>
      </c>
    </row>
    <row r="20" spans="7:7" ht="33.950000000000003" customHeight="1" x14ac:dyDescent="0.25">
      <c r="G20" s="5" t="str">
        <f>IF(Crafting!E15="Basic Synthesis","BasicSynthesis",IF(Crafting!E15="Basic Touch","BasicTouch",IF(Crafting!E15="Master's Mend","MastersMend",IF(Crafting!E15="Steady Hand","SteadyHand",IF(Crafting!E15="Inner Quiet","InnerQuiet",IF(Crafting!E15="Observe","Observe",IF(Crafting!E15="Careful Synthesis","CarefulSynthesis",IF(Crafting!E15="Standard Touch","StandardTouch",IF(Crafting!E15="Great Strides","GreatStrides",IF(Crafting!E15="Master's Mend II","MastersMendII",IF(Crafting!E15="Standard Synthesis","StandardSynthesis",IF(Crafting!E15="Advanced Touch","AdvancedTouch",IF(Crafting!E15="Careful Synthesis II","CarefulSynthesisII",IF(Crafting!E15="Byregot's Brow","ByregotsBrow",IF(Crafting!E15="","",IF(Crafting!E15="","",IF(Crafting!E15="","",IF(Crafting!E15="","",IF(Crafting!E15="","",IF(Crafting!E15="","",IF(Crafting!E15="","",IF(Crafting!E15="","",IF(Crafting!E15="","",IF(Crafting!E15="","",IF(Crafting!E15="","",IF(Crafting!E15="","",IF(Crafting!E15="","",IF(Crafting!E15="","","NULL"))))))))))))))))))))))))))))</f>
        <v>CarefulSynthesis</v>
      </c>
    </row>
    <row r="21" spans="7:7" ht="33.950000000000003" customHeight="1" x14ac:dyDescent="0.25">
      <c r="G21" t="str">
        <f>IF(Crafting!F15="Basic Synthesis","BasicSynthesis",IF(Crafting!F15="Basic Touch","BasicTouch",IF(Crafting!F15="Master's Mend","MastersMend",IF(Crafting!F15="Steady Hand","SteadyHand",IF(Crafting!F15="Inner Quiet","InnerQuiet",IF(Crafting!F15="Observe","Observe",IF(Crafting!F15="Careful Synthesis","CarefulSynthesis",IF(Crafting!F15="Standard Touch","StandardTouch",IF(Crafting!F15="Great Strides","GreatStrides",IF(Crafting!F15="Master's Mend II","MastersMendII",IF(Crafting!F15="Standard Synthesis","StandardSynthesis",IF(Crafting!F15="Advanced Touch","AdvancedTouch",IF(Crafting!F15="Careful Synthesis II","CarefulSynthesisII",IF(Crafting!F15="Byregot's Brow","ByregotsBrow",IF(Crafting!F15="","",IF(Crafting!F15="","",IF(Crafting!F15="","",IF(Crafting!F15="","",IF(Crafting!F15="","",IF(Crafting!F15="","",IF(Crafting!F15="","",IF(Crafting!F15="","",IF(Crafting!F15="","",IF(Crafting!F15="","",IF(Crafting!F15="","",IF(Crafting!F15="","",IF(Crafting!F15="","",IF(Crafting!F15="","","NULL"))))))))))))))))))))))))))))</f>
        <v>StandardTouch</v>
      </c>
    </row>
    <row r="22" spans="7:7" ht="33.950000000000003" customHeight="1" x14ac:dyDescent="0.25">
      <c r="G22" t="str">
        <f>IF(Crafting!G15="Basic Synthesis","BasicSynthesis",IF(Crafting!G15="Basic Touch","BasicTouch",IF(Crafting!G15="Master's Mend","MastersMend",IF(Crafting!G15="Steady Hand","SteadyHand",IF(Crafting!G15="Inner Quiet","InnerQuiet",IF(Crafting!G15="Observe","Observe",IF(Crafting!G15="Careful Synthesis","CarefulSynthesis",IF(Crafting!G15="Standard Touch","StandardTouch",IF(Crafting!G15="Great Strides","GreatStrides",IF(Crafting!G15="Master's Mend II","MastersMendII",IF(Crafting!G15="Standard Synthesis","StandardSynthesis",IF(Crafting!G15="Advanced Touch","AdvancedTouch",IF(Crafting!G15="Careful Synthesis II","CarefulSynthesisII",IF(Crafting!G15="Byregot's Brow","ByregotsBrow",IF(Crafting!G15="","",IF(Crafting!G15="","",IF(Crafting!G15="","",IF(Crafting!G15="","",IF(Crafting!G15="","",IF(Crafting!G15="","",IF(Crafting!G15="","",IF(Crafting!G15="","",IF(Crafting!G15="","",IF(Crafting!G15="","",IF(Crafting!G15="","",IF(Crafting!G15="","",IF(Crafting!G15="","",IF(Crafting!G15="","","NULL"))))))))))))))))))))))))))))</f>
        <v>BasicTouch</v>
      </c>
    </row>
    <row r="23" spans="7:7" ht="33.950000000000003" customHeight="1" x14ac:dyDescent="0.25">
      <c r="G23" t="str">
        <f>IF(Crafting!H15="Basic Synthesis","BasicSynthesis",IF(Crafting!H15="Basic Touch","BasicTouch",IF(Crafting!H15="Master's Mend","MastersMend",IF(Crafting!H15="Steady Hand","SteadyHand",IF(Crafting!H15="Inner Quiet","InnerQuiet",IF(Crafting!H15="Observe","Observe",IF(Crafting!H15="Careful Synthesis","CarefulSynthesis",IF(Crafting!H15="Standard Touch","StandardTouch",IF(Crafting!H15="Great Strides","GreatStrides",IF(Crafting!H15="Master's Mend II","MastersMendII",IF(Crafting!H15="Standard Synthesis","StandardSynthesis",IF(Crafting!H15="Advanced Touch","AdvancedTouch",IF(Crafting!H15="Careful Synthesis II","CarefulSynthesisII",IF(Crafting!H15="Byregot's Brow","ByregotsBrow",IF(Crafting!H15="","",IF(Crafting!H15="","",IF(Crafting!H15="","",IF(Crafting!H15="","",IF(Crafting!H15="","",IF(Crafting!H15="","",IF(Crafting!H15="","",IF(Crafting!H15="","",IF(Crafting!H15="","",IF(Crafting!H15="","",IF(Crafting!H15="","",IF(Crafting!H15="","",IF(Crafting!H15="","",IF(Crafting!H15="","","NULL"))))))))))))))))))))))))))))</f>
        <v>BasicTouch</v>
      </c>
    </row>
    <row r="24" spans="7:7" ht="33.950000000000003" customHeight="1" x14ac:dyDescent="0.25">
      <c r="G24" t="str">
        <f>IF(Crafting!I15="Basic Synthesis","BasicSynthesis",IF(Crafting!I15="Basic Touch","BasicTouch",IF(Crafting!I15="Master's Mend","MastersMend",IF(Crafting!I15="Steady Hand","SteadyHand",IF(Crafting!I15="Inner Quiet","InnerQuiet",IF(Crafting!I15="Observe","Observe",IF(Crafting!I15="Careful Synthesis","CarefulSynthesis",IF(Crafting!I15="Standard Touch","StandardTouch",IF(Crafting!I15="Great Strides","GreatStrides",IF(Crafting!I15="Master's Mend II","MastersMendII",IF(Crafting!I15="Standard Synthesis","StandardSynthesis",IF(Crafting!I15="Advanced Touch","AdvancedTouch",IF(Crafting!I15="Careful Synthesis II","CarefulSynthesisII",IF(Crafting!I15="Byregot's Brow","ByregotsBrow",IF(Crafting!I15="","",IF(Crafting!I15="","",IF(Crafting!I15="","",IF(Crafting!I15="","",IF(Crafting!I15="","",IF(Crafting!I15="","",IF(Crafting!I15="","",IF(Crafting!I15="","",IF(Crafting!I15="","",IF(Crafting!I15="","",IF(Crafting!I15="","",IF(Crafting!I15="","",IF(Crafting!I15="","",IF(Crafting!I15="","","NULL"))))))))))))))))))))))))))))</f>
        <v>MastersMend</v>
      </c>
    </row>
  </sheetData>
  <autoFilter ref="A1:D15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Crafting</vt:lpstr>
      <vt:lpstr>Skills</vt:lpstr>
      <vt:lpstr>AdvancedTouch</vt:lpstr>
      <vt:lpstr>BasicSynthesis</vt:lpstr>
      <vt:lpstr>BasicTouch</vt:lpstr>
      <vt:lpstr>ByregotsBrow</vt:lpstr>
      <vt:lpstr>CarefulSynthesis</vt:lpstr>
      <vt:lpstr>CarefulSynthesisII</vt:lpstr>
      <vt:lpstr>GreatStrides</vt:lpstr>
      <vt:lpstr>InnerQuiet</vt:lpstr>
      <vt:lpstr>MastersMend</vt:lpstr>
      <vt:lpstr>MastersMendII</vt:lpstr>
      <vt:lpstr>Observe</vt:lpstr>
      <vt:lpstr>StandardSynthesis</vt:lpstr>
      <vt:lpstr>StandardTouch</vt:lpstr>
      <vt:lpstr>SteadyHand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Edmond</dc:creator>
  <cp:lastModifiedBy>Edmond</cp:lastModifiedBy>
  <dcterms:created xsi:type="dcterms:W3CDTF">2016-10-22T06:32:20Z</dcterms:created>
  <dcterms:modified xsi:type="dcterms:W3CDTF">2016-11-27T09:24:40Z</dcterms:modified>
</cp:coreProperties>
</file>